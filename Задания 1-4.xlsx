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mp\Desktop\Материалы для Эксель\Пробное задание Луна\"/>
    </mc:Choice>
  </mc:AlternateContent>
  <xr:revisionPtr revIDLastSave="0" documentId="13_ncr:1_{9C21A25B-D5DC-4CF0-B010-92972C5D7E8B}" xr6:coauthVersionLast="47" xr6:coauthVersionMax="47" xr10:uidLastSave="{00000000-0000-0000-0000-000000000000}"/>
  <bookViews>
    <workbookView xWindow="-120" yWindow="-120" windowWidth="29040" windowHeight="15840" xr2:uid="{9B8C9A86-0837-A84A-80A5-61217BBA1437}"/>
  </bookViews>
  <sheets>
    <sheet name="Общий реестр Задание 1-2" sheetId="9" r:id="rId1"/>
    <sheet name="Реестр с исключением Задание 3" sheetId="10" r:id="rId2"/>
    <sheet name="Сводная таблица Задание 4" sheetId="11" r:id="rId3"/>
    <sheet name="задание" sheetId="6" r:id="rId4"/>
  </sheets>
  <definedNames>
    <definedName name="_xlnm._FilterDatabase" localSheetId="1" hidden="1">'Реестр с исключением Задание 3'!$G$1:$G$32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0" l="1"/>
  <c r="I24" i="10"/>
  <c r="H24" i="10"/>
  <c r="J23" i="10"/>
  <c r="I23" i="10"/>
  <c r="H23" i="10"/>
  <c r="J22" i="10"/>
  <c r="I22" i="10"/>
  <c r="H22" i="10"/>
  <c r="J21" i="10"/>
  <c r="I21" i="10"/>
  <c r="H21" i="10"/>
  <c r="J20" i="10"/>
  <c r="I20" i="10"/>
  <c r="H20" i="10"/>
  <c r="J19" i="10"/>
  <c r="I19" i="10"/>
  <c r="H19" i="10"/>
  <c r="J18" i="10"/>
  <c r="I18" i="10"/>
  <c r="H18" i="10"/>
  <c r="L17" i="10"/>
  <c r="J17" i="10"/>
  <c r="I17" i="10"/>
  <c r="H17" i="10"/>
  <c r="J16" i="10"/>
  <c r="I16" i="10"/>
  <c r="H16" i="10"/>
  <c r="L12" i="10"/>
  <c r="L11" i="10"/>
  <c r="L29" i="9"/>
  <c r="L16" i="9"/>
  <c r="L14" i="9"/>
  <c r="L12" i="9"/>
  <c r="L11" i="9"/>
  <c r="J24" i="9"/>
  <c r="H24" i="9"/>
  <c r="H25" i="9"/>
  <c r="I25" i="9"/>
  <c r="J25" i="9"/>
  <c r="H26" i="9"/>
  <c r="I26" i="9"/>
  <c r="J26" i="9"/>
  <c r="H27" i="9"/>
  <c r="I27" i="9"/>
  <c r="J27" i="9"/>
  <c r="H28" i="9"/>
  <c r="I28" i="9"/>
  <c r="J28" i="9"/>
  <c r="H29" i="9"/>
  <c r="I29" i="9"/>
  <c r="J29" i="9"/>
  <c r="H30" i="9"/>
  <c r="I30" i="9"/>
  <c r="J30" i="9"/>
  <c r="H31" i="9"/>
  <c r="I31" i="9"/>
  <c r="J31" i="9"/>
  <c r="H32" i="9"/>
  <c r="I32" i="9"/>
  <c r="J32" i="9"/>
  <c r="H33" i="9"/>
  <c r="I33" i="9"/>
  <c r="J33" i="9"/>
  <c r="H34" i="9"/>
  <c r="I34" i="9"/>
  <c r="J34" i="9"/>
  <c r="H35" i="9"/>
  <c r="I35" i="9"/>
  <c r="J35" i="9"/>
  <c r="H36" i="9"/>
  <c r="I36" i="9"/>
  <c r="J36" i="9"/>
  <c r="H37" i="9"/>
  <c r="I37" i="9"/>
  <c r="J37" i="9"/>
  <c r="H38" i="9"/>
  <c r="I38" i="9"/>
  <c r="J38" i="9"/>
  <c r="H39" i="9"/>
  <c r="I39" i="9"/>
  <c r="J39" i="9"/>
  <c r="H40" i="9"/>
  <c r="I40" i="9"/>
  <c r="J40" i="9"/>
  <c r="I24" i="9"/>
</calcChain>
</file>

<file path=xl/sharedStrings.xml><?xml version="1.0" encoding="utf-8"?>
<sst xmlns="http://schemas.openxmlformats.org/spreadsheetml/2006/main" count="183" uniqueCount="45">
  <si>
    <t>№</t>
  </si>
  <si>
    <t>Сумма выдачи</t>
  </si>
  <si>
    <t>Задолженность по ОД</t>
  </si>
  <si>
    <t>Задолженность по %%</t>
  </si>
  <si>
    <t>Кол-во дней просрочки, фактическое</t>
  </si>
  <si>
    <t>Электросталь</t>
  </si>
  <si>
    <t>COLLECTOR</t>
  </si>
  <si>
    <t>ACTIVE_SB</t>
  </si>
  <si>
    <t>Белгород</t>
  </si>
  <si>
    <t>DELINQUENT</t>
  </si>
  <si>
    <t>Волгоград</t>
  </si>
  <si>
    <t>Красногорск</t>
  </si>
  <si>
    <t>Пенза</t>
  </si>
  <si>
    <t>Онлайн</t>
  </si>
  <si>
    <t>Орел</t>
  </si>
  <si>
    <t>Рязань</t>
  </si>
  <si>
    <t>Вологда</t>
  </si>
  <si>
    <t>Астрахань</t>
  </si>
  <si>
    <t>Курск</t>
  </si>
  <si>
    <t>Санкт-Петербург</t>
  </si>
  <si>
    <t>Чебоксары</t>
  </si>
  <si>
    <t>Иваново</t>
  </si>
  <si>
    <t>EARLY_REPAID</t>
  </si>
  <si>
    <t>REPAID</t>
  </si>
  <si>
    <t>SOLD</t>
  </si>
  <si>
    <t>CANCELED</t>
  </si>
  <si>
    <t>BANKRUPTCY</t>
  </si>
  <si>
    <t>Номер контракта</t>
  </si>
  <si>
    <t>Регион выдачи</t>
  </si>
  <si>
    <t>ID договора</t>
  </si>
  <si>
    <t>Дата выдачи</t>
  </si>
  <si>
    <t>Статус</t>
  </si>
  <si>
    <t>Дата последнего платежа</t>
  </si>
  <si>
    <t>Сумма последнего платежа</t>
  </si>
  <si>
    <t>1. Составить реестр, в который войдут все клиенты из отчета 1</t>
  </si>
  <si>
    <t>2. Недостающие поля взять из отчета 2</t>
  </si>
  <si>
    <t>4. Написать SQL запрос по отчету 2, который выведет клиентов с регионом выдачи онлайн и выданные в 2024 году</t>
  </si>
  <si>
    <t>5. Написать SQL запрос по отчету 2, который выведет три поля: статус, количество клиентов в статусе, сумму выданных займов в статусе</t>
  </si>
  <si>
    <t>6. Написать SQL запрос, который выведет все поля отчета 1 и отчета 2</t>
  </si>
  <si>
    <t>4. из полученного реестра построить сводную таблицу по регионам, количеством клиентов по регионам и суммой выданных займов по регионам</t>
  </si>
  <si>
    <t>3. из сформированного реестра исключить клиентов из вкладки "цессия" и со статусом "банкрот", "погашен", "досрочно погашен"</t>
  </si>
  <si>
    <t>Общий итог</t>
  </si>
  <si>
    <t>Регион</t>
  </si>
  <si>
    <t>Количество клиентов</t>
  </si>
  <si>
    <t>Сумма выданных займов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</si>
</sst>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2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0" fillId="0" borderId="0" xfId="0" applyNumberFormat="1"/>
    <xf numFmtId="14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Pack by Diakov" refreshedDate="46065.781134259261" createdVersion="8" refreshedVersion="8" minRefreshableVersion="3" recordCount="23" xr:uid="{E180A387-2175-4AA8-8AC0-D7986A0003CA}">
  <cacheSource type="worksheet">
    <worksheetSource ref="A1:L24" sheet="Реестр с исключением Задание 3"/>
  </cacheSource>
  <cacheFields count="12">
    <cacheField name="№" numFmtId="0">
      <sharedItems containsSemiMixedTypes="0" containsString="0" containsNumber="1" containsInteger="1" minValue="1" maxValue="23"/>
    </cacheField>
    <cacheField name="Номер контракта" numFmtId="0">
      <sharedItems containsSemiMixedTypes="0" containsString="0" containsNumber="1" containsInteger="1" minValue="68" maxValue="70431" count="23">
        <n v="3547"/>
        <n v="68"/>
        <n v="389"/>
        <n v="1393"/>
        <n v="2050"/>
        <n v="2154"/>
        <n v="2148"/>
        <n v="3211"/>
        <n v="3512"/>
        <n v="6081"/>
        <n v="7524"/>
        <n v="12728"/>
        <n v="70431"/>
        <n v="68701"/>
        <n v="864"/>
        <n v="1097"/>
        <n v="1370"/>
        <n v="1612"/>
        <n v="2369"/>
        <n v="2674"/>
        <n v="2952"/>
        <n v="36943"/>
        <n v="37392"/>
      </sharedItems>
    </cacheField>
    <cacheField name="ID договора" numFmtId="0">
      <sharedItems containsSemiMixedTypes="0" containsString="0" containsNumber="1" containsInteger="1" minValue="183" maxValue="208219"/>
    </cacheField>
    <cacheField name="Регион выдачи" numFmtId="0">
      <sharedItems count="12">
        <s v="Электросталь"/>
        <s v="Белгород"/>
        <s v="Вологда"/>
        <s v="Санкт-Петербург"/>
        <s v="Курск"/>
        <s v="Пенза"/>
        <s v="Астрахань"/>
        <s v="Онлайн"/>
        <s v="Иваново"/>
        <s v="Орел"/>
        <s v="Волгоград"/>
        <s v="Рязань"/>
      </sharedItems>
    </cacheField>
    <cacheField name="Дата выдачи" numFmtId="14">
      <sharedItems containsSemiMixedTypes="0" containsNonDate="0" containsDate="1" containsString="0" minDate="2022-09-30T15:18:31" maxDate="2024-06-22T10:47:02"/>
    </cacheField>
    <cacheField name="Сумма выдачи" numFmtId="0">
      <sharedItems containsSemiMixedTypes="0" containsString="0" containsNumber="1" containsInteger="1" minValue="6000" maxValue="70000"/>
    </cacheField>
    <cacheField name="Статус" numFmtId="0">
      <sharedItems/>
    </cacheField>
    <cacheField name="Задолженность по ОД" numFmtId="0">
      <sharedItems containsMixedTypes="1" containsNumber="1" minValue="4410.2" maxValue="47104.160000000003"/>
    </cacheField>
    <cacheField name="Задолженность по %%" numFmtId="0">
      <sharedItems containsMixedTypes="1" containsNumber="1" minValue="249.72" maxValue="30483.14"/>
    </cacheField>
    <cacheField name="Кол-во дней просрочки, фактическое" numFmtId="0">
      <sharedItems containsMixedTypes="1" containsNumber="1" containsInteger="1" minValue="208" maxValue="609"/>
    </cacheField>
    <cacheField name="Дата последнего платежа" numFmtId="164">
      <sharedItems containsSemiMixedTypes="0" containsNonDate="0" containsDate="1" containsString="0" minDate="2022-12-06T16:30:00" maxDate="2024-12-17T15:34:43"/>
    </cacheField>
    <cacheField name="Сумма последнего платежа" numFmtId="0">
      <sharedItems containsMixedTypes="1" containsNumber="1" minValue="50" maxValue="10868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x v="0"/>
    <n v="10614"/>
    <x v="0"/>
    <d v="2023-03-23T13:49:12"/>
    <n v="60000"/>
    <s v="COLLECTOR"/>
    <n v="47104.160000000003"/>
    <n v="23926.86"/>
    <n v="525"/>
    <d v="2023-11-21T23:00:00"/>
    <n v="1775"/>
  </r>
  <r>
    <n v="2"/>
    <x v="1"/>
    <n v="183"/>
    <x v="1"/>
    <d v="2022-09-30T15:18:31"/>
    <n v="35000"/>
    <s v="COLLECTOR"/>
    <n v="11447.66"/>
    <n v="1300.06"/>
    <n v="552"/>
    <d v="2024-10-03T14:33:23"/>
    <n v="1950"/>
  </r>
  <r>
    <n v="3"/>
    <x v="2"/>
    <n v="1146"/>
    <x v="2"/>
    <d v="2022-10-28T12:44:37"/>
    <n v="30000"/>
    <s v="DELINQUENT"/>
    <n v="4410.2"/>
    <n v="249.72"/>
    <n v="482"/>
    <d v="2023-10-07T00:00:00"/>
    <n v="1200"/>
  </r>
  <r>
    <n v="4"/>
    <x v="3"/>
    <n v="4157"/>
    <x v="0"/>
    <d v="2022-12-20T14:24:23"/>
    <n v="40000"/>
    <s v="ACTIVE_SB"/>
    <n v="11088.24"/>
    <n v="1482.47"/>
    <n v="457"/>
    <d v="2023-12-12T23:00:00"/>
    <n v="3000"/>
  </r>
  <r>
    <n v="5"/>
    <x v="4"/>
    <n v="6127"/>
    <x v="3"/>
    <d v="2023-01-26T18:01:52"/>
    <n v="50000"/>
    <s v="COLLECTOR"/>
    <n v="42219.24"/>
    <n v="30483.14"/>
    <n v="609"/>
    <d v="2024-12-17T15:34:37"/>
    <n v="2200"/>
  </r>
  <r>
    <n v="6"/>
    <x v="5"/>
    <n v="6439"/>
    <x v="4"/>
    <d v="2023-01-31T14:50:25"/>
    <n v="20000"/>
    <s v="COLLECTOR"/>
    <n v="6606.81"/>
    <n v="864.92"/>
    <n v="583"/>
    <d v="2024-12-17T15:34:38"/>
    <n v="6652.05"/>
  </r>
  <r>
    <n v="7"/>
    <x v="6"/>
    <n v="6421"/>
    <x v="5"/>
    <d v="2023-01-31T13:35:23"/>
    <n v="30000"/>
    <s v="ACTIVE_SB"/>
    <n v="8796.44"/>
    <n v="1169.45"/>
    <n v="415"/>
    <d v="2024-01-23T23:00:00"/>
    <n v="9000"/>
  </r>
  <r>
    <n v="8"/>
    <x v="7"/>
    <n v="9610"/>
    <x v="1"/>
    <d v="2023-03-10T12:01:12"/>
    <n v="30000"/>
    <s v="COLLECTOR"/>
    <n v="25533.57"/>
    <n v="19657.32"/>
    <n v="573"/>
    <d v="2023-09-11T09:15:44"/>
    <n v="4250"/>
  </r>
  <r>
    <n v="9"/>
    <x v="8"/>
    <n v="10509"/>
    <x v="6"/>
    <d v="2023-03-21T16:00:29"/>
    <n v="30000"/>
    <s v="COLLECTOR"/>
    <n v="26037.23"/>
    <n v="21091.66"/>
    <n v="569"/>
    <d v="2023-09-13T08:46:09"/>
    <n v="1100"/>
  </r>
  <r>
    <n v="10"/>
    <x v="9"/>
    <n v="18155"/>
    <x v="7"/>
    <d v="2023-06-18T03:53:06"/>
    <n v="9500"/>
    <s v="COLLECTOR"/>
    <n v="9500"/>
    <n v="5157.97"/>
    <n v="578"/>
    <d v="2024-12-17T15:34:43"/>
    <e v="#N/A"/>
  </r>
  <r>
    <n v="11"/>
    <x v="10"/>
    <n v="22472"/>
    <x v="7"/>
    <d v="2023-07-05T08:34:09"/>
    <n v="9500"/>
    <s v="COLLECTOR"/>
    <n v="9500"/>
    <n v="4051.18"/>
    <n v="561"/>
    <d v="2024-10-14T11:55:57"/>
    <e v="#N/A"/>
  </r>
  <r>
    <n v="12"/>
    <x v="11"/>
    <n v="38081"/>
    <x v="7"/>
    <d v="2023-08-26T23:39:09"/>
    <n v="9900"/>
    <s v="COLLECTOR"/>
    <n v="8655.17"/>
    <n v="3112.94"/>
    <n v="495"/>
    <d v="2024-11-08T14:22:22"/>
    <n v="2353.63"/>
  </r>
  <r>
    <n v="13"/>
    <x v="12"/>
    <n v="208219"/>
    <x v="7"/>
    <d v="2024-06-22T10:47:02"/>
    <n v="6000"/>
    <s v="ACTIVE_SB"/>
    <n v="6000"/>
    <n v="2889.34"/>
    <n v="208"/>
    <d v="2024-09-24T23:00:00"/>
    <n v="500"/>
  </r>
  <r>
    <n v="14"/>
    <x v="13"/>
    <n v="203029"/>
    <x v="7"/>
    <d v="2024-06-14T09:09:03"/>
    <n v="9900"/>
    <s v="DELINQUENT"/>
    <n v="9900"/>
    <n v="4166.08"/>
    <n v="216"/>
    <d v="2024-06-29T00:00:00"/>
    <n v="50"/>
  </r>
  <r>
    <n v="15"/>
    <x v="14"/>
    <n v="2573"/>
    <x v="8"/>
    <d v="2022-11-24T16:50:31"/>
    <n v="70000"/>
    <s v="SOLD"/>
    <e v="#N/A"/>
    <e v="#N/A"/>
    <e v="#N/A"/>
    <d v="2023-12-26T23:45:00"/>
    <n v="2500"/>
  </r>
  <r>
    <n v="16"/>
    <x v="15"/>
    <n v="3272"/>
    <x v="1"/>
    <d v="2022-12-06T16:08:16"/>
    <n v="30000"/>
    <s v="CANCELED"/>
    <e v="#N/A"/>
    <e v="#N/A"/>
    <e v="#N/A"/>
    <d v="2022-12-06T16:30:00"/>
    <e v="#N/A"/>
  </r>
  <r>
    <n v="17"/>
    <x v="16"/>
    <n v="4088"/>
    <x v="9"/>
    <d v="2022-12-19T14:40:28"/>
    <n v="20000"/>
    <s v="SOLD"/>
    <e v="#N/A"/>
    <e v="#N/A"/>
    <e v="#N/A"/>
    <d v="2023-12-26T23:45:00"/>
    <n v="1070"/>
  </r>
  <r>
    <n v="18"/>
    <x v="17"/>
    <n v="4814"/>
    <x v="8"/>
    <d v="2022-12-28T13:10:52"/>
    <n v="30000"/>
    <s v="SOLD"/>
    <e v="#N/A"/>
    <e v="#N/A"/>
    <e v="#N/A"/>
    <d v="2023-12-26T23:45:00"/>
    <n v="1600"/>
  </r>
  <r>
    <n v="19"/>
    <x v="18"/>
    <n v="7084"/>
    <x v="10"/>
    <d v="2023-02-07T18:10:20"/>
    <n v="55000"/>
    <s v="COLLECTOR"/>
    <e v="#N/A"/>
    <e v="#N/A"/>
    <e v="#N/A"/>
    <d v="2024-07-24T14:55:14"/>
    <n v="4700"/>
  </r>
  <r>
    <n v="20"/>
    <x v="19"/>
    <n v="7999"/>
    <x v="2"/>
    <d v="2023-02-16T16:42:14"/>
    <n v="20000"/>
    <s v="COLLECTOR"/>
    <e v="#N/A"/>
    <e v="#N/A"/>
    <e v="#N/A"/>
    <d v="2024-10-14T11:55:55"/>
    <n v="1584.96"/>
  </r>
  <r>
    <n v="21"/>
    <x v="20"/>
    <n v="8833"/>
    <x v="11"/>
    <d v="2023-02-27T20:04:13"/>
    <n v="20000"/>
    <s v="COLLECTOR"/>
    <e v="#N/A"/>
    <e v="#N/A"/>
    <e v="#N/A"/>
    <d v="2023-09-22T09:26:10"/>
    <n v="10868.3"/>
  </r>
  <r>
    <n v="22"/>
    <x v="21"/>
    <n v="107766"/>
    <x v="7"/>
    <d v="2024-01-11T23:17:09"/>
    <n v="9900"/>
    <s v="SOLD"/>
    <e v="#N/A"/>
    <e v="#N/A"/>
    <e v="#N/A"/>
    <d v="2024-07-22T13:05:19"/>
    <n v="2340"/>
  </r>
  <r>
    <n v="23"/>
    <x v="22"/>
    <n v="109111"/>
    <x v="7"/>
    <d v="2024-01-14T08:17:10"/>
    <n v="9900"/>
    <s v="SOLD"/>
    <e v="#N/A"/>
    <e v="#N/A"/>
    <e v="#N/A"/>
    <d v="2024-06-26T15:44:21"/>
    <n v="2353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80A3B-CC5C-4462-A67C-4AC19D2294C2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Регион">
  <location ref="A3:C16" firstHeaderRow="0" firstDataRow="1" firstDataCol="1"/>
  <pivotFields count="12">
    <pivotField showAll="0"/>
    <pivotField showAll="0">
      <items count="24">
        <item x="1"/>
        <item x="2"/>
        <item x="14"/>
        <item x="15"/>
        <item x="16"/>
        <item x="3"/>
        <item x="17"/>
        <item x="4"/>
        <item x="6"/>
        <item x="5"/>
        <item x="18"/>
        <item x="19"/>
        <item x="20"/>
        <item x="7"/>
        <item x="8"/>
        <item x="0"/>
        <item x="9"/>
        <item x="10"/>
        <item x="11"/>
        <item x="21"/>
        <item x="22"/>
        <item x="13"/>
        <item x="12"/>
        <item t="default"/>
      </items>
    </pivotField>
    <pivotField dataField="1" showAll="0"/>
    <pivotField axis="axisRow" showAll="0">
      <items count="13">
        <item x="6"/>
        <item x="1"/>
        <item x="10"/>
        <item x="2"/>
        <item x="8"/>
        <item x="4"/>
        <item x="7"/>
        <item x="9"/>
        <item x="5"/>
        <item x="11"/>
        <item x="3"/>
        <item x="0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numFmtId="164"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клиентов" fld="2" subtotal="count" baseField="3" baseItem="0"/>
    <dataField name="Сумма выданных займов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1A45-97BD-4A0D-B86B-1668A4657178}">
  <dimension ref="A1:L40"/>
  <sheetViews>
    <sheetView tabSelected="1" workbookViewId="0">
      <selection sqref="A1:XFD1"/>
    </sheetView>
  </sheetViews>
  <sheetFormatPr defaultRowHeight="15"/>
  <cols>
    <col min="1" max="1" width="2.88671875" bestFit="1" customWidth="1"/>
    <col min="2" max="2" width="15" bestFit="1" customWidth="1"/>
    <col min="3" max="3" width="11.6640625" bestFit="1" customWidth="1"/>
    <col min="4" max="4" width="14.88671875" bestFit="1" customWidth="1"/>
    <col min="5" max="5" width="11.5546875" bestFit="1" customWidth="1"/>
    <col min="6" max="6" width="13.33203125" customWidth="1"/>
    <col min="7" max="7" width="14.33203125" bestFit="1" customWidth="1"/>
    <col min="8" max="8" width="21" bestFit="1" customWidth="1"/>
    <col min="9" max="9" width="22.109375" bestFit="1" customWidth="1"/>
    <col min="10" max="10" width="32.77734375" customWidth="1"/>
    <col min="11" max="11" width="22.44140625" style="2" customWidth="1"/>
    <col min="12" max="12" width="23.6640625" customWidth="1"/>
  </cols>
  <sheetData>
    <row r="1" spans="1:12" s="7" customFormat="1">
      <c r="A1" s="5" t="s">
        <v>0</v>
      </c>
      <c r="B1" s="5" t="s">
        <v>27</v>
      </c>
      <c r="C1" s="5" t="s">
        <v>29</v>
      </c>
      <c r="D1" s="5" t="s">
        <v>28</v>
      </c>
      <c r="E1" s="5" t="s">
        <v>30</v>
      </c>
      <c r="F1" s="5" t="s">
        <v>1</v>
      </c>
      <c r="G1" s="5" t="s">
        <v>31</v>
      </c>
      <c r="H1" s="5" t="s">
        <v>2</v>
      </c>
      <c r="I1" s="5" t="s">
        <v>3</v>
      </c>
      <c r="J1" s="5" t="s">
        <v>4</v>
      </c>
      <c r="K1" s="6" t="s">
        <v>32</v>
      </c>
      <c r="L1" s="5" t="s">
        <v>33</v>
      </c>
    </row>
    <row r="2" spans="1:12">
      <c r="A2" s="1">
        <v>1</v>
      </c>
      <c r="B2" s="1">
        <v>3547</v>
      </c>
      <c r="C2" s="1">
        <v>10614</v>
      </c>
      <c r="D2" s="1" t="s">
        <v>5</v>
      </c>
      <c r="E2" s="3">
        <v>45008.575833333336</v>
      </c>
      <c r="F2" s="1">
        <v>60000</v>
      </c>
      <c r="G2" s="1" t="s">
        <v>6</v>
      </c>
      <c r="H2" s="1">
        <v>47104.160000000003</v>
      </c>
      <c r="I2" s="1">
        <v>23926.86</v>
      </c>
      <c r="J2" s="1">
        <v>525</v>
      </c>
      <c r="K2" s="4">
        <v>45251.958333333336</v>
      </c>
      <c r="L2" s="1">
        <v>1775</v>
      </c>
    </row>
    <row r="3" spans="1:12">
      <c r="A3" s="1">
        <v>2</v>
      </c>
      <c r="B3" s="1">
        <v>68</v>
      </c>
      <c r="C3" s="1">
        <v>183</v>
      </c>
      <c r="D3" s="1" t="s">
        <v>8</v>
      </c>
      <c r="E3" s="3">
        <v>44834.637858796297</v>
      </c>
      <c r="F3" s="1">
        <v>35000</v>
      </c>
      <c r="G3" s="1" t="s">
        <v>6</v>
      </c>
      <c r="H3" s="1">
        <v>11447.66</v>
      </c>
      <c r="I3" s="1">
        <v>1300.06</v>
      </c>
      <c r="J3" s="1">
        <v>552</v>
      </c>
      <c r="K3" s="4">
        <v>45568.606516203705</v>
      </c>
      <c r="L3" s="1">
        <v>1950</v>
      </c>
    </row>
    <row r="4" spans="1:12">
      <c r="A4" s="1">
        <v>3</v>
      </c>
      <c r="B4" s="1">
        <v>389</v>
      </c>
      <c r="C4" s="1">
        <v>1146</v>
      </c>
      <c r="D4" s="1" t="s">
        <v>16</v>
      </c>
      <c r="E4" s="3">
        <v>44862.5309837963</v>
      </c>
      <c r="F4" s="1">
        <v>30000</v>
      </c>
      <c r="G4" s="1" t="s">
        <v>9</v>
      </c>
      <c r="H4" s="1">
        <v>4410.2</v>
      </c>
      <c r="I4" s="1">
        <v>249.72</v>
      </c>
      <c r="J4" s="1">
        <v>482</v>
      </c>
      <c r="K4" s="4">
        <v>45206</v>
      </c>
      <c r="L4" s="1">
        <v>1200</v>
      </c>
    </row>
    <row r="5" spans="1:12">
      <c r="A5" s="1">
        <v>4</v>
      </c>
      <c r="B5" s="1">
        <v>1393</v>
      </c>
      <c r="C5" s="1">
        <v>4157</v>
      </c>
      <c r="D5" s="1" t="s">
        <v>5</v>
      </c>
      <c r="E5" s="3">
        <v>44915.600266203706</v>
      </c>
      <c r="F5" s="1">
        <v>40000</v>
      </c>
      <c r="G5" s="1" t="s">
        <v>7</v>
      </c>
      <c r="H5" s="1">
        <v>11088.24</v>
      </c>
      <c r="I5" s="1">
        <v>1482.47</v>
      </c>
      <c r="J5" s="1">
        <v>457</v>
      </c>
      <c r="K5" s="4">
        <v>45272.958333333336</v>
      </c>
      <c r="L5" s="1">
        <v>3000</v>
      </c>
    </row>
    <row r="6" spans="1:12">
      <c r="A6" s="1">
        <v>5</v>
      </c>
      <c r="B6" s="1">
        <v>2050</v>
      </c>
      <c r="C6" s="1">
        <v>6127</v>
      </c>
      <c r="D6" s="1" t="s">
        <v>19</v>
      </c>
      <c r="E6" s="3">
        <v>44952.751296296294</v>
      </c>
      <c r="F6" s="1">
        <v>50000</v>
      </c>
      <c r="G6" s="1" t="s">
        <v>6</v>
      </c>
      <c r="H6" s="1">
        <v>42219.24</v>
      </c>
      <c r="I6" s="1">
        <v>30483.14</v>
      </c>
      <c r="J6" s="1">
        <v>609</v>
      </c>
      <c r="K6" s="4">
        <v>45643.649039351854</v>
      </c>
      <c r="L6" s="1">
        <v>2200</v>
      </c>
    </row>
    <row r="7" spans="1:12">
      <c r="A7" s="1">
        <v>6</v>
      </c>
      <c r="B7" s="1">
        <v>2154</v>
      </c>
      <c r="C7" s="1">
        <v>6439</v>
      </c>
      <c r="D7" s="1" t="s">
        <v>18</v>
      </c>
      <c r="E7" s="3">
        <v>44957.618344907409</v>
      </c>
      <c r="F7" s="1">
        <v>20000</v>
      </c>
      <c r="G7" s="1" t="s">
        <v>6</v>
      </c>
      <c r="H7" s="1">
        <v>6606.81</v>
      </c>
      <c r="I7" s="1">
        <v>864.92</v>
      </c>
      <c r="J7" s="1">
        <v>583</v>
      </c>
      <c r="K7" s="4">
        <v>45643.649050925924</v>
      </c>
      <c r="L7" s="1">
        <v>6652.05</v>
      </c>
    </row>
    <row r="8" spans="1:12">
      <c r="A8" s="1">
        <v>7</v>
      </c>
      <c r="B8" s="1">
        <v>2148</v>
      </c>
      <c r="C8" s="1">
        <v>6421</v>
      </c>
      <c r="D8" s="1" t="s">
        <v>12</v>
      </c>
      <c r="E8" s="3">
        <v>44957.566238425927</v>
      </c>
      <c r="F8" s="1">
        <v>30000</v>
      </c>
      <c r="G8" s="1" t="s">
        <v>7</v>
      </c>
      <c r="H8" s="1">
        <v>8796.44</v>
      </c>
      <c r="I8" s="1">
        <v>1169.45</v>
      </c>
      <c r="J8" s="1">
        <v>415</v>
      </c>
      <c r="K8" s="4">
        <v>45314.958333333336</v>
      </c>
      <c r="L8" s="1">
        <v>9000</v>
      </c>
    </row>
    <row r="9" spans="1:12">
      <c r="A9" s="1">
        <v>8</v>
      </c>
      <c r="B9" s="1">
        <v>3211</v>
      </c>
      <c r="C9" s="1">
        <v>9610</v>
      </c>
      <c r="D9" s="1" t="s">
        <v>8</v>
      </c>
      <c r="E9" s="3">
        <v>44995.500833333332</v>
      </c>
      <c r="F9" s="1">
        <v>30000</v>
      </c>
      <c r="G9" s="1" t="s">
        <v>6</v>
      </c>
      <c r="H9" s="1">
        <v>25533.57</v>
      </c>
      <c r="I9" s="1">
        <v>19657.32</v>
      </c>
      <c r="J9" s="1">
        <v>573</v>
      </c>
      <c r="K9" s="4">
        <v>45180.385925925926</v>
      </c>
      <c r="L9" s="1">
        <v>4250</v>
      </c>
    </row>
    <row r="10" spans="1:12">
      <c r="A10" s="1">
        <v>9</v>
      </c>
      <c r="B10" s="1">
        <v>3512</v>
      </c>
      <c r="C10" s="1">
        <v>10509</v>
      </c>
      <c r="D10" s="1" t="s">
        <v>17</v>
      </c>
      <c r="E10" s="3">
        <v>45006.667002314818</v>
      </c>
      <c r="F10" s="1">
        <v>30000</v>
      </c>
      <c r="G10" s="1" t="s">
        <v>6</v>
      </c>
      <c r="H10" s="1">
        <v>26037.23</v>
      </c>
      <c r="I10" s="1">
        <v>21091.66</v>
      </c>
      <c r="J10" s="1">
        <v>569</v>
      </c>
      <c r="K10" s="4">
        <v>45182.365381944444</v>
      </c>
      <c r="L10" s="1">
        <v>1100</v>
      </c>
    </row>
    <row r="11" spans="1:12">
      <c r="A11" s="1">
        <v>10</v>
      </c>
      <c r="B11" s="1">
        <v>6081</v>
      </c>
      <c r="C11" s="1">
        <v>18155</v>
      </c>
      <c r="D11" s="1" t="s">
        <v>13</v>
      </c>
      <c r="E11" s="3">
        <v>45095.161874999998</v>
      </c>
      <c r="F11" s="1">
        <v>9500</v>
      </c>
      <c r="G11" s="1" t="s">
        <v>6</v>
      </c>
      <c r="H11" s="1">
        <v>9500</v>
      </c>
      <c r="I11" s="1">
        <v>5157.97</v>
      </c>
      <c r="J11" s="1">
        <v>578</v>
      </c>
      <c r="K11" s="4">
        <v>45643.649108796293</v>
      </c>
      <c r="L11" s="1" t="e">
        <f>NA()</f>
        <v>#N/A</v>
      </c>
    </row>
    <row r="12" spans="1:12">
      <c r="A12" s="1">
        <v>11</v>
      </c>
      <c r="B12" s="1">
        <v>7524</v>
      </c>
      <c r="C12" s="1">
        <v>22472</v>
      </c>
      <c r="D12" s="1" t="s">
        <v>13</v>
      </c>
      <c r="E12" s="3">
        <v>45112.357048611113</v>
      </c>
      <c r="F12" s="1">
        <v>9500</v>
      </c>
      <c r="G12" s="1" t="s">
        <v>6</v>
      </c>
      <c r="H12" s="1">
        <v>9500</v>
      </c>
      <c r="I12" s="1">
        <v>4051.18</v>
      </c>
      <c r="J12" s="1">
        <v>561</v>
      </c>
      <c r="K12" s="4">
        <v>45579.497187499997</v>
      </c>
      <c r="L12" s="1" t="e">
        <f>NA()</f>
        <v>#N/A</v>
      </c>
    </row>
    <row r="13" spans="1:12">
      <c r="A13" s="1">
        <v>12</v>
      </c>
      <c r="B13" s="1">
        <v>12728</v>
      </c>
      <c r="C13" s="1">
        <v>38081</v>
      </c>
      <c r="D13" s="1" t="s">
        <v>13</v>
      </c>
      <c r="E13" s="3">
        <v>45164.985520833332</v>
      </c>
      <c r="F13" s="1">
        <v>9900</v>
      </c>
      <c r="G13" s="1" t="s">
        <v>6</v>
      </c>
      <c r="H13" s="1">
        <v>8655.17</v>
      </c>
      <c r="I13" s="1">
        <v>3112.94</v>
      </c>
      <c r="J13" s="1">
        <v>495</v>
      </c>
      <c r="K13" s="4">
        <v>45604.598865740743</v>
      </c>
      <c r="L13" s="1">
        <v>2353.63</v>
      </c>
    </row>
    <row r="14" spans="1:12">
      <c r="A14" s="1">
        <v>13</v>
      </c>
      <c r="B14" s="1">
        <v>23629</v>
      </c>
      <c r="C14" s="1">
        <v>70784</v>
      </c>
      <c r="D14" s="1" t="s">
        <v>13</v>
      </c>
      <c r="E14" s="3">
        <v>45237.626516203702</v>
      </c>
      <c r="F14" s="1">
        <v>9900</v>
      </c>
      <c r="G14" s="1" t="s">
        <v>6</v>
      </c>
      <c r="H14" s="1">
        <v>9900</v>
      </c>
      <c r="I14" s="1">
        <v>4221.74</v>
      </c>
      <c r="J14" s="1">
        <v>436</v>
      </c>
      <c r="K14" s="4">
        <v>45568.527465277781</v>
      </c>
      <c r="L14" s="1" t="e">
        <f>NA()</f>
        <v>#N/A</v>
      </c>
    </row>
    <row r="15" spans="1:12">
      <c r="A15" s="1">
        <v>14</v>
      </c>
      <c r="B15" s="1">
        <v>26146</v>
      </c>
      <c r="C15" s="1">
        <v>78335</v>
      </c>
      <c r="D15" s="1" t="s">
        <v>13</v>
      </c>
      <c r="E15" s="3">
        <v>45249.641817129632</v>
      </c>
      <c r="F15" s="1">
        <v>9900</v>
      </c>
      <c r="G15" s="1" t="s">
        <v>6</v>
      </c>
      <c r="H15" s="1">
        <v>4660.4799999999996</v>
      </c>
      <c r="I15" s="1">
        <v>0</v>
      </c>
      <c r="J15" s="1">
        <v>382</v>
      </c>
      <c r="K15" s="4">
        <v>45568.55195601852</v>
      </c>
      <c r="L15" s="1">
        <v>2400</v>
      </c>
    </row>
    <row r="16" spans="1:12">
      <c r="A16" s="1">
        <v>15</v>
      </c>
      <c r="B16" s="1">
        <v>27112</v>
      </c>
      <c r="C16" s="1">
        <v>81233</v>
      </c>
      <c r="D16" s="1" t="s">
        <v>13</v>
      </c>
      <c r="E16" s="3">
        <v>45253.864027777781</v>
      </c>
      <c r="F16" s="1">
        <v>9900</v>
      </c>
      <c r="G16" s="1" t="s">
        <v>6</v>
      </c>
      <c r="H16" s="1">
        <v>9900</v>
      </c>
      <c r="I16" s="1">
        <v>4221.74</v>
      </c>
      <c r="J16" s="1">
        <v>420</v>
      </c>
      <c r="K16" s="4">
        <v>45568.527465277781</v>
      </c>
      <c r="L16" s="1" t="e">
        <f>NA()</f>
        <v>#N/A</v>
      </c>
    </row>
    <row r="17" spans="1:12">
      <c r="A17" s="1">
        <v>16</v>
      </c>
      <c r="B17" s="1">
        <v>29454</v>
      </c>
      <c r="C17" s="1">
        <v>88259</v>
      </c>
      <c r="D17" s="1" t="s">
        <v>13</v>
      </c>
      <c r="E17" s="3">
        <v>45265.785532407404</v>
      </c>
      <c r="F17" s="1">
        <v>9900</v>
      </c>
      <c r="G17" s="1" t="s">
        <v>6</v>
      </c>
      <c r="H17" s="1">
        <v>8655.17</v>
      </c>
      <c r="I17" s="1">
        <v>3112.94</v>
      </c>
      <c r="J17" s="1">
        <v>394</v>
      </c>
      <c r="K17" s="4">
        <v>45568.527465277781</v>
      </c>
      <c r="L17" s="1">
        <v>2353.63</v>
      </c>
    </row>
    <row r="18" spans="1:12">
      <c r="A18" s="1">
        <v>17</v>
      </c>
      <c r="B18" s="1">
        <v>35084</v>
      </c>
      <c r="C18" s="1">
        <v>104036</v>
      </c>
      <c r="D18" s="1" t="s">
        <v>13</v>
      </c>
      <c r="E18" s="3">
        <v>45295.500821759262</v>
      </c>
      <c r="F18" s="1">
        <v>9900</v>
      </c>
      <c r="G18" s="1" t="s">
        <v>6</v>
      </c>
      <c r="H18" s="1">
        <v>7270.92</v>
      </c>
      <c r="I18" s="1">
        <v>2143.56</v>
      </c>
      <c r="J18" s="1">
        <v>350</v>
      </c>
      <c r="K18" s="4">
        <v>45568.55195601852</v>
      </c>
      <c r="L18" s="1">
        <v>2347.2600000000002</v>
      </c>
    </row>
    <row r="19" spans="1:12">
      <c r="A19" s="1">
        <v>18</v>
      </c>
      <c r="B19" s="1">
        <v>37654</v>
      </c>
      <c r="C19" s="1">
        <v>109897</v>
      </c>
      <c r="D19" s="1" t="s">
        <v>13</v>
      </c>
      <c r="E19" s="3">
        <v>45306.574444444443</v>
      </c>
      <c r="F19" s="1">
        <v>9900</v>
      </c>
      <c r="G19" s="1" t="s">
        <v>6</v>
      </c>
      <c r="H19" s="1">
        <v>7270.92</v>
      </c>
      <c r="I19" s="1">
        <v>2143.56</v>
      </c>
      <c r="J19" s="1">
        <v>339</v>
      </c>
      <c r="K19" s="4">
        <v>45568.55195601852</v>
      </c>
      <c r="L19" s="1">
        <v>2353.63</v>
      </c>
    </row>
    <row r="20" spans="1:12">
      <c r="A20" s="1">
        <v>19</v>
      </c>
      <c r="B20" s="1">
        <v>39952</v>
      </c>
      <c r="C20" s="1">
        <v>116791</v>
      </c>
      <c r="D20" s="1" t="s">
        <v>13</v>
      </c>
      <c r="E20" s="3">
        <v>45316.788981481484</v>
      </c>
      <c r="F20" s="1">
        <v>9900</v>
      </c>
      <c r="G20" s="1" t="s">
        <v>6</v>
      </c>
      <c r="H20" s="1">
        <v>8655.17</v>
      </c>
      <c r="I20" s="1">
        <v>3112.94</v>
      </c>
      <c r="J20" s="1">
        <v>343</v>
      </c>
      <c r="K20" s="4">
        <v>45568.55195601852</v>
      </c>
      <c r="L20" s="1">
        <v>2353.63</v>
      </c>
    </row>
    <row r="21" spans="1:12">
      <c r="A21" s="1">
        <v>20</v>
      </c>
      <c r="B21" s="1">
        <v>42997</v>
      </c>
      <c r="C21" s="1">
        <v>125922</v>
      </c>
      <c r="D21" s="1" t="s">
        <v>13</v>
      </c>
      <c r="E21" s="3">
        <v>45330.855636574073</v>
      </c>
      <c r="F21" s="1">
        <v>13300</v>
      </c>
      <c r="G21" s="1" t="s">
        <v>6</v>
      </c>
      <c r="H21" s="1">
        <v>11627.66</v>
      </c>
      <c r="I21" s="1">
        <v>4182</v>
      </c>
      <c r="J21" s="1">
        <v>329</v>
      </c>
      <c r="K21" s="4">
        <v>45568.55195601852</v>
      </c>
      <c r="L21" s="1">
        <v>2000</v>
      </c>
    </row>
    <row r="22" spans="1:12">
      <c r="A22" s="1">
        <v>21</v>
      </c>
      <c r="B22" s="1">
        <v>70431</v>
      </c>
      <c r="C22" s="1">
        <v>208219</v>
      </c>
      <c r="D22" s="1" t="s">
        <v>13</v>
      </c>
      <c r="E22" s="3">
        <v>45465.449328703704</v>
      </c>
      <c r="F22" s="1">
        <v>6000</v>
      </c>
      <c r="G22" s="1" t="s">
        <v>7</v>
      </c>
      <c r="H22" s="1">
        <v>6000</v>
      </c>
      <c r="I22" s="1">
        <v>2889.34</v>
      </c>
      <c r="J22" s="1">
        <v>208</v>
      </c>
      <c r="K22" s="4">
        <v>45559.958333333336</v>
      </c>
      <c r="L22" s="1">
        <v>500</v>
      </c>
    </row>
    <row r="23" spans="1:12">
      <c r="A23" s="1">
        <v>22</v>
      </c>
      <c r="B23" s="1">
        <v>68701</v>
      </c>
      <c r="C23" s="1">
        <v>203029</v>
      </c>
      <c r="D23" s="1" t="s">
        <v>13</v>
      </c>
      <c r="E23" s="3">
        <v>45457.381284722222</v>
      </c>
      <c r="F23" s="1">
        <v>9900</v>
      </c>
      <c r="G23" s="1" t="s">
        <v>9</v>
      </c>
      <c r="H23" s="1">
        <v>9900</v>
      </c>
      <c r="I23" s="1">
        <v>4166.08</v>
      </c>
      <c r="J23" s="1">
        <v>216</v>
      </c>
      <c r="K23" s="4">
        <v>45472</v>
      </c>
      <c r="L23" s="1">
        <v>50</v>
      </c>
    </row>
    <row r="24" spans="1:12">
      <c r="A24" s="1">
        <v>23</v>
      </c>
      <c r="B24" s="1">
        <v>91</v>
      </c>
      <c r="C24" s="1">
        <v>252</v>
      </c>
      <c r="D24" s="1" t="s">
        <v>5</v>
      </c>
      <c r="E24" s="3">
        <v>44838.736770833333</v>
      </c>
      <c r="F24" s="1">
        <v>50000</v>
      </c>
      <c r="G24" s="1" t="s">
        <v>22</v>
      </c>
      <c r="H24" s="1" t="e">
        <f>NA()</f>
        <v>#N/A</v>
      </c>
      <c r="I24" s="1" t="e">
        <f>NA()</f>
        <v>#N/A</v>
      </c>
      <c r="J24" s="1" t="e">
        <f>NA()</f>
        <v>#N/A</v>
      </c>
      <c r="K24" s="4">
        <v>45134.878981481481</v>
      </c>
      <c r="L24" s="1">
        <v>3078</v>
      </c>
    </row>
    <row r="25" spans="1:12">
      <c r="A25" s="1">
        <v>24</v>
      </c>
      <c r="B25" s="1">
        <v>265</v>
      </c>
      <c r="C25" s="1">
        <v>774</v>
      </c>
      <c r="D25" s="1" t="s">
        <v>16</v>
      </c>
      <c r="E25" s="3">
        <v>44853.644618055558</v>
      </c>
      <c r="F25" s="1">
        <v>25000</v>
      </c>
      <c r="G25" s="1" t="s">
        <v>22</v>
      </c>
      <c r="H25" s="1" t="e">
        <f>NA()</f>
        <v>#N/A</v>
      </c>
      <c r="I25" s="1" t="e">
        <f>NA()</f>
        <v>#N/A</v>
      </c>
      <c r="J25" s="1" t="e">
        <f>NA()</f>
        <v>#N/A</v>
      </c>
      <c r="K25" s="4">
        <v>45062.687557870369</v>
      </c>
      <c r="L25" s="1">
        <v>5700</v>
      </c>
    </row>
    <row r="26" spans="1:12">
      <c r="A26" s="1">
        <v>25</v>
      </c>
      <c r="B26" s="1">
        <v>457</v>
      </c>
      <c r="C26" s="1">
        <v>1352</v>
      </c>
      <c r="D26" s="1" t="s">
        <v>8</v>
      </c>
      <c r="E26" s="3">
        <v>44867.571759259263</v>
      </c>
      <c r="F26" s="1">
        <v>30000</v>
      </c>
      <c r="G26" s="1" t="s">
        <v>23</v>
      </c>
      <c r="H26" s="1" t="e">
        <f>NA()</f>
        <v>#N/A</v>
      </c>
      <c r="I26" s="1" t="e">
        <f>NA()</f>
        <v>#N/A</v>
      </c>
      <c r="J26" s="1" t="e">
        <f>NA()</f>
        <v>#N/A</v>
      </c>
      <c r="K26" s="4">
        <v>45092.635439814818</v>
      </c>
      <c r="L26" s="1">
        <v>3000</v>
      </c>
    </row>
    <row r="27" spans="1:12">
      <c r="A27" s="1">
        <v>26</v>
      </c>
      <c r="B27" s="1">
        <v>640</v>
      </c>
      <c r="C27" s="1">
        <v>1901</v>
      </c>
      <c r="D27" s="1" t="s">
        <v>20</v>
      </c>
      <c r="E27" s="3">
        <v>44880.632094907407</v>
      </c>
      <c r="F27" s="1">
        <v>20000</v>
      </c>
      <c r="G27" s="1" t="s">
        <v>22</v>
      </c>
      <c r="H27" s="1" t="e">
        <f>NA()</f>
        <v>#N/A</v>
      </c>
      <c r="I27" s="1" t="e">
        <f>NA()</f>
        <v>#N/A</v>
      </c>
      <c r="J27" s="1" t="e">
        <f>NA()</f>
        <v>#N/A</v>
      </c>
      <c r="K27" s="4">
        <v>45139.996527777781</v>
      </c>
      <c r="L27" s="1">
        <v>11642</v>
      </c>
    </row>
    <row r="28" spans="1:12">
      <c r="A28" s="1">
        <v>27</v>
      </c>
      <c r="B28" s="1">
        <v>864</v>
      </c>
      <c r="C28" s="1">
        <v>2573</v>
      </c>
      <c r="D28" s="1" t="s">
        <v>21</v>
      </c>
      <c r="E28" s="3">
        <v>44889.701747685183</v>
      </c>
      <c r="F28" s="1">
        <v>70000</v>
      </c>
      <c r="G28" s="1" t="s">
        <v>24</v>
      </c>
      <c r="H28" s="1" t="e">
        <f>NA()</f>
        <v>#N/A</v>
      </c>
      <c r="I28" s="1" t="e">
        <f>NA()</f>
        <v>#N/A</v>
      </c>
      <c r="J28" s="1" t="e">
        <f>NA()</f>
        <v>#N/A</v>
      </c>
      <c r="K28" s="4">
        <v>45286.989583333336</v>
      </c>
      <c r="L28" s="1">
        <v>2500</v>
      </c>
    </row>
    <row r="29" spans="1:12">
      <c r="A29" s="1">
        <v>28</v>
      </c>
      <c r="B29" s="1">
        <v>1097</v>
      </c>
      <c r="C29" s="1">
        <v>3272</v>
      </c>
      <c r="D29" s="1" t="s">
        <v>8</v>
      </c>
      <c r="E29" s="3">
        <v>44901.672407407408</v>
      </c>
      <c r="F29" s="1">
        <v>30000</v>
      </c>
      <c r="G29" s="1" t="s">
        <v>25</v>
      </c>
      <c r="H29" s="1" t="e">
        <f>NA()</f>
        <v>#N/A</v>
      </c>
      <c r="I29" s="1" t="e">
        <f>NA()</f>
        <v>#N/A</v>
      </c>
      <c r="J29" s="1" t="e">
        <f>NA()</f>
        <v>#N/A</v>
      </c>
      <c r="K29" s="4">
        <v>44901.6875</v>
      </c>
      <c r="L29" s="1" t="e">
        <f>NA()</f>
        <v>#N/A</v>
      </c>
    </row>
    <row r="30" spans="1:12">
      <c r="A30" s="1">
        <v>29</v>
      </c>
      <c r="B30" s="1">
        <v>1370</v>
      </c>
      <c r="C30" s="1">
        <v>4088</v>
      </c>
      <c r="D30" s="1" t="s">
        <v>14</v>
      </c>
      <c r="E30" s="3">
        <v>44914.611435185187</v>
      </c>
      <c r="F30" s="1">
        <v>20000</v>
      </c>
      <c r="G30" s="1" t="s">
        <v>24</v>
      </c>
      <c r="H30" s="1" t="e">
        <f>NA()</f>
        <v>#N/A</v>
      </c>
      <c r="I30" s="1" t="e">
        <f>NA()</f>
        <v>#N/A</v>
      </c>
      <c r="J30" s="1" t="e">
        <f>NA()</f>
        <v>#N/A</v>
      </c>
      <c r="K30" s="4">
        <v>45286.989583333336</v>
      </c>
      <c r="L30" s="1">
        <v>1070</v>
      </c>
    </row>
    <row r="31" spans="1:12">
      <c r="A31" s="1">
        <v>30</v>
      </c>
      <c r="B31" s="1">
        <v>1612</v>
      </c>
      <c r="C31" s="1">
        <v>4814</v>
      </c>
      <c r="D31" s="1" t="s">
        <v>21</v>
      </c>
      <c r="E31" s="3">
        <v>44923.549212962964</v>
      </c>
      <c r="F31" s="1">
        <v>30000</v>
      </c>
      <c r="G31" s="1" t="s">
        <v>24</v>
      </c>
      <c r="H31" s="1" t="e">
        <f>NA()</f>
        <v>#N/A</v>
      </c>
      <c r="I31" s="1" t="e">
        <f>NA()</f>
        <v>#N/A</v>
      </c>
      <c r="J31" s="1" t="e">
        <f>NA()</f>
        <v>#N/A</v>
      </c>
      <c r="K31" s="4">
        <v>45286.989583333336</v>
      </c>
      <c r="L31" s="1">
        <v>1600</v>
      </c>
    </row>
    <row r="32" spans="1:12">
      <c r="A32" s="1">
        <v>31</v>
      </c>
      <c r="B32" s="1">
        <v>1851</v>
      </c>
      <c r="C32" s="1">
        <v>5530</v>
      </c>
      <c r="D32" s="1" t="s">
        <v>15</v>
      </c>
      <c r="E32" s="3">
        <v>44944.656504629631</v>
      </c>
      <c r="F32" s="1">
        <v>52000</v>
      </c>
      <c r="G32" s="1" t="s">
        <v>23</v>
      </c>
      <c r="H32" s="1" t="e">
        <f>NA()</f>
        <v>#N/A</v>
      </c>
      <c r="I32" s="1" t="e">
        <f>NA()</f>
        <v>#N/A</v>
      </c>
      <c r="J32" s="1" t="e">
        <f>NA()</f>
        <v>#N/A</v>
      </c>
      <c r="K32" s="4">
        <v>45314.799143518518</v>
      </c>
      <c r="L32" s="1">
        <v>40</v>
      </c>
    </row>
    <row r="33" spans="1:12">
      <c r="A33" s="1">
        <v>32</v>
      </c>
      <c r="B33" s="1">
        <v>2075</v>
      </c>
      <c r="C33" s="1">
        <v>6202</v>
      </c>
      <c r="D33" s="1" t="s">
        <v>12</v>
      </c>
      <c r="E33" s="3">
        <v>44953.646099537036</v>
      </c>
      <c r="F33" s="1">
        <v>36000</v>
      </c>
      <c r="G33" s="1" t="s">
        <v>26</v>
      </c>
      <c r="H33" s="1" t="e">
        <f>NA()</f>
        <v>#N/A</v>
      </c>
      <c r="I33" s="1" t="e">
        <f>NA()</f>
        <v>#N/A</v>
      </c>
      <c r="J33" s="1" t="e">
        <f>NA()</f>
        <v>#N/A</v>
      </c>
      <c r="K33" s="4">
        <v>45561.595879629633</v>
      </c>
      <c r="L33" s="1">
        <v>3100</v>
      </c>
    </row>
    <row r="34" spans="1:12">
      <c r="A34" s="1">
        <v>33</v>
      </c>
      <c r="B34" s="1">
        <v>2369</v>
      </c>
      <c r="C34" s="1">
        <v>7084</v>
      </c>
      <c r="D34" s="1" t="s">
        <v>10</v>
      </c>
      <c r="E34" s="3">
        <v>44964.757175925923</v>
      </c>
      <c r="F34" s="1">
        <v>55000</v>
      </c>
      <c r="G34" s="1" t="s">
        <v>6</v>
      </c>
      <c r="H34" s="1" t="e">
        <f>NA()</f>
        <v>#N/A</v>
      </c>
      <c r="I34" s="1" t="e">
        <f>NA()</f>
        <v>#N/A</v>
      </c>
      <c r="J34" s="1" t="e">
        <f>NA()</f>
        <v>#N/A</v>
      </c>
      <c r="K34" s="4">
        <v>45497.621689814812</v>
      </c>
      <c r="L34" s="1">
        <v>4700</v>
      </c>
    </row>
    <row r="35" spans="1:12">
      <c r="A35" s="1">
        <v>34</v>
      </c>
      <c r="B35" s="1">
        <v>2674</v>
      </c>
      <c r="C35" s="1">
        <v>7999</v>
      </c>
      <c r="D35" s="1" t="s">
        <v>16</v>
      </c>
      <c r="E35" s="3">
        <v>44973.69599537037</v>
      </c>
      <c r="F35" s="1">
        <v>20000</v>
      </c>
      <c r="G35" s="1" t="s">
        <v>6</v>
      </c>
      <c r="H35" s="1" t="e">
        <f>NA()</f>
        <v>#N/A</v>
      </c>
      <c r="I35" s="1" t="e">
        <f>NA()</f>
        <v>#N/A</v>
      </c>
      <c r="J35" s="1" t="e">
        <f>NA()</f>
        <v>#N/A</v>
      </c>
      <c r="K35" s="4">
        <v>45579.497164351851</v>
      </c>
      <c r="L35" s="1">
        <v>1584.96</v>
      </c>
    </row>
    <row r="36" spans="1:12">
      <c r="A36" s="1">
        <v>35</v>
      </c>
      <c r="B36" s="1">
        <v>2952</v>
      </c>
      <c r="C36" s="1">
        <v>8833</v>
      </c>
      <c r="D36" s="1" t="s">
        <v>15</v>
      </c>
      <c r="E36" s="3">
        <v>44984.836261574077</v>
      </c>
      <c r="F36" s="1">
        <v>20000</v>
      </c>
      <c r="G36" s="1" t="s">
        <v>6</v>
      </c>
      <c r="H36" s="1" t="e">
        <f>NA()</f>
        <v>#N/A</v>
      </c>
      <c r="I36" s="1" t="e">
        <f>NA()</f>
        <v>#N/A</v>
      </c>
      <c r="J36" s="1" t="e">
        <f>NA()</f>
        <v>#N/A</v>
      </c>
      <c r="K36" s="4">
        <v>45191.393171296295</v>
      </c>
      <c r="L36" s="1">
        <v>10868.3</v>
      </c>
    </row>
    <row r="37" spans="1:12">
      <c r="A37" s="1">
        <v>36</v>
      </c>
      <c r="B37" s="1">
        <v>3219</v>
      </c>
      <c r="C37" s="1">
        <v>9631</v>
      </c>
      <c r="D37" s="1" t="s">
        <v>11</v>
      </c>
      <c r="E37" s="3">
        <v>44995.677824074075</v>
      </c>
      <c r="F37" s="1">
        <v>45000</v>
      </c>
      <c r="G37" s="1" t="s">
        <v>22</v>
      </c>
      <c r="H37" s="1" t="e">
        <f>NA()</f>
        <v>#N/A</v>
      </c>
      <c r="I37" s="1" t="e">
        <f>NA()</f>
        <v>#N/A</v>
      </c>
      <c r="J37" s="1" t="e">
        <f>NA()</f>
        <v>#N/A</v>
      </c>
      <c r="K37" s="4">
        <v>45028.852638888886</v>
      </c>
      <c r="L37" s="1">
        <v>42982</v>
      </c>
    </row>
    <row r="38" spans="1:12">
      <c r="A38" s="1">
        <v>37</v>
      </c>
      <c r="B38" s="1">
        <v>36943</v>
      </c>
      <c r="C38" s="1">
        <v>107766</v>
      </c>
      <c r="D38" s="1" t="s">
        <v>13</v>
      </c>
      <c r="E38" s="3">
        <v>45302.970243055555</v>
      </c>
      <c r="F38" s="1">
        <v>9900</v>
      </c>
      <c r="G38" s="1" t="s">
        <v>24</v>
      </c>
      <c r="H38" s="1" t="e">
        <f>NA()</f>
        <v>#N/A</v>
      </c>
      <c r="I38" s="1" t="e">
        <f>NA()</f>
        <v>#N/A</v>
      </c>
      <c r="J38" s="1" t="e">
        <f>NA()</f>
        <v>#N/A</v>
      </c>
      <c r="K38" s="4">
        <v>45495.545358796298</v>
      </c>
      <c r="L38" s="1">
        <v>2340</v>
      </c>
    </row>
    <row r="39" spans="1:12">
      <c r="A39" s="1">
        <v>38</v>
      </c>
      <c r="B39" s="1">
        <v>37142</v>
      </c>
      <c r="C39" s="1">
        <v>108361</v>
      </c>
      <c r="D39" s="1" t="s">
        <v>13</v>
      </c>
      <c r="E39" s="3">
        <v>45303.908460648148</v>
      </c>
      <c r="F39" s="1">
        <v>8000</v>
      </c>
      <c r="G39" s="1" t="s">
        <v>23</v>
      </c>
      <c r="H39" s="1" t="e">
        <f>NA()</f>
        <v>#N/A</v>
      </c>
      <c r="I39" s="1" t="e">
        <f>NA()</f>
        <v>#N/A</v>
      </c>
      <c r="J39" s="1" t="e">
        <f>NA()</f>
        <v>#N/A</v>
      </c>
      <c r="K39" s="4">
        <v>45359.917743055557</v>
      </c>
      <c r="L39" s="1">
        <v>5705.77</v>
      </c>
    </row>
    <row r="40" spans="1:12">
      <c r="A40" s="1">
        <v>39</v>
      </c>
      <c r="B40" s="1">
        <v>37392</v>
      </c>
      <c r="C40" s="1">
        <v>109111</v>
      </c>
      <c r="D40" s="1" t="s">
        <v>13</v>
      </c>
      <c r="E40" s="3">
        <v>45305.345254629632</v>
      </c>
      <c r="F40" s="1">
        <v>9900</v>
      </c>
      <c r="G40" s="1" t="s">
        <v>24</v>
      </c>
      <c r="H40" s="1" t="e">
        <f>NA()</f>
        <v>#N/A</v>
      </c>
      <c r="I40" s="1" t="e">
        <f>NA()</f>
        <v>#N/A</v>
      </c>
      <c r="J40" s="1" t="e">
        <f>NA()</f>
        <v>#N/A</v>
      </c>
      <c r="K40" s="4">
        <v>45469.655798611115</v>
      </c>
      <c r="L40" s="1">
        <v>2353.63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9D2C-62C7-471E-8DA1-F1C6EB377304}">
  <dimension ref="A1:L24"/>
  <sheetViews>
    <sheetView workbookViewId="0">
      <selection sqref="A1:L1"/>
    </sheetView>
  </sheetViews>
  <sheetFormatPr defaultRowHeight="15"/>
  <cols>
    <col min="1" max="1" width="2.88671875" bestFit="1" customWidth="1"/>
    <col min="2" max="2" width="15" bestFit="1" customWidth="1"/>
    <col min="3" max="3" width="11.6640625" bestFit="1" customWidth="1"/>
    <col min="4" max="4" width="14.88671875" bestFit="1" customWidth="1"/>
    <col min="5" max="5" width="11.5546875" bestFit="1" customWidth="1"/>
    <col min="6" max="6" width="13.33203125" customWidth="1"/>
    <col min="7" max="7" width="14.33203125" bestFit="1" customWidth="1"/>
    <col min="8" max="8" width="21" bestFit="1" customWidth="1"/>
    <col min="9" max="9" width="22.109375" bestFit="1" customWidth="1"/>
    <col min="10" max="10" width="32.77734375" customWidth="1"/>
    <col min="11" max="11" width="22.44140625" style="2" customWidth="1"/>
    <col min="12" max="12" width="23.6640625" customWidth="1"/>
  </cols>
  <sheetData>
    <row r="1" spans="1:12" s="7" customFormat="1">
      <c r="A1" s="5" t="s">
        <v>0</v>
      </c>
      <c r="B1" s="5" t="s">
        <v>27</v>
      </c>
      <c r="C1" s="5" t="s">
        <v>29</v>
      </c>
      <c r="D1" s="5" t="s">
        <v>28</v>
      </c>
      <c r="E1" s="5" t="s">
        <v>30</v>
      </c>
      <c r="F1" s="5" t="s">
        <v>1</v>
      </c>
      <c r="G1" s="5" t="s">
        <v>31</v>
      </c>
      <c r="H1" s="5" t="s">
        <v>2</v>
      </c>
      <c r="I1" s="5" t="s">
        <v>3</v>
      </c>
      <c r="J1" s="5" t="s">
        <v>4</v>
      </c>
      <c r="K1" s="6" t="s">
        <v>32</v>
      </c>
      <c r="L1" s="5" t="s">
        <v>33</v>
      </c>
    </row>
    <row r="2" spans="1:12">
      <c r="A2" s="1">
        <v>1</v>
      </c>
      <c r="B2" s="1">
        <v>3547</v>
      </c>
      <c r="C2" s="1">
        <v>10614</v>
      </c>
      <c r="D2" s="1" t="s">
        <v>5</v>
      </c>
      <c r="E2" s="3">
        <v>45008.575833333336</v>
      </c>
      <c r="F2" s="1">
        <v>60000</v>
      </c>
      <c r="G2" s="1" t="s">
        <v>6</v>
      </c>
      <c r="H2" s="1">
        <v>47104.160000000003</v>
      </c>
      <c r="I2" s="1">
        <v>23926.86</v>
      </c>
      <c r="J2" s="1">
        <v>525</v>
      </c>
      <c r="K2" s="4">
        <v>45251.958333333336</v>
      </c>
      <c r="L2" s="1">
        <v>1775</v>
      </c>
    </row>
    <row r="3" spans="1:12">
      <c r="A3" s="1">
        <v>2</v>
      </c>
      <c r="B3" s="1">
        <v>68</v>
      </c>
      <c r="C3" s="1">
        <v>183</v>
      </c>
      <c r="D3" s="1" t="s">
        <v>8</v>
      </c>
      <c r="E3" s="3">
        <v>44834.637858796297</v>
      </c>
      <c r="F3" s="1">
        <v>35000</v>
      </c>
      <c r="G3" s="1" t="s">
        <v>6</v>
      </c>
      <c r="H3" s="1">
        <v>11447.66</v>
      </c>
      <c r="I3" s="1">
        <v>1300.06</v>
      </c>
      <c r="J3" s="1">
        <v>552</v>
      </c>
      <c r="K3" s="4">
        <v>45568.606516203705</v>
      </c>
      <c r="L3" s="1">
        <v>1950</v>
      </c>
    </row>
    <row r="4" spans="1:12">
      <c r="A4" s="1">
        <v>3</v>
      </c>
      <c r="B4" s="1">
        <v>389</v>
      </c>
      <c r="C4" s="1">
        <v>1146</v>
      </c>
      <c r="D4" s="1" t="s">
        <v>16</v>
      </c>
      <c r="E4" s="3">
        <v>44862.5309837963</v>
      </c>
      <c r="F4" s="1">
        <v>30000</v>
      </c>
      <c r="G4" s="1" t="s">
        <v>9</v>
      </c>
      <c r="H4" s="1">
        <v>4410.2</v>
      </c>
      <c r="I4" s="1">
        <v>249.72</v>
      </c>
      <c r="J4" s="1">
        <v>482</v>
      </c>
      <c r="K4" s="4">
        <v>45206</v>
      </c>
      <c r="L4" s="1">
        <v>1200</v>
      </c>
    </row>
    <row r="5" spans="1:12">
      <c r="A5" s="1">
        <v>4</v>
      </c>
      <c r="B5" s="1">
        <v>1393</v>
      </c>
      <c r="C5" s="1">
        <v>4157</v>
      </c>
      <c r="D5" s="1" t="s">
        <v>5</v>
      </c>
      <c r="E5" s="3">
        <v>44915.600266203706</v>
      </c>
      <c r="F5" s="1">
        <v>40000</v>
      </c>
      <c r="G5" s="1" t="s">
        <v>7</v>
      </c>
      <c r="H5" s="1">
        <v>11088.24</v>
      </c>
      <c r="I5" s="1">
        <v>1482.47</v>
      </c>
      <c r="J5" s="1">
        <v>457</v>
      </c>
      <c r="K5" s="4">
        <v>45272.958333333336</v>
      </c>
      <c r="L5" s="1">
        <v>3000</v>
      </c>
    </row>
    <row r="6" spans="1:12">
      <c r="A6" s="1">
        <v>5</v>
      </c>
      <c r="B6" s="1">
        <v>2050</v>
      </c>
      <c r="C6" s="1">
        <v>6127</v>
      </c>
      <c r="D6" s="1" t="s">
        <v>19</v>
      </c>
      <c r="E6" s="3">
        <v>44952.751296296294</v>
      </c>
      <c r="F6" s="1">
        <v>50000</v>
      </c>
      <c r="G6" s="1" t="s">
        <v>6</v>
      </c>
      <c r="H6" s="1">
        <v>42219.24</v>
      </c>
      <c r="I6" s="1">
        <v>30483.14</v>
      </c>
      <c r="J6" s="1">
        <v>609</v>
      </c>
      <c r="K6" s="4">
        <v>45643.649039351854</v>
      </c>
      <c r="L6" s="1">
        <v>2200</v>
      </c>
    </row>
    <row r="7" spans="1:12">
      <c r="A7" s="1">
        <v>6</v>
      </c>
      <c r="B7" s="1">
        <v>2154</v>
      </c>
      <c r="C7" s="1">
        <v>6439</v>
      </c>
      <c r="D7" s="1" t="s">
        <v>18</v>
      </c>
      <c r="E7" s="3">
        <v>44957.618344907409</v>
      </c>
      <c r="F7" s="1">
        <v>20000</v>
      </c>
      <c r="G7" s="1" t="s">
        <v>6</v>
      </c>
      <c r="H7" s="1">
        <v>6606.81</v>
      </c>
      <c r="I7" s="1">
        <v>864.92</v>
      </c>
      <c r="J7" s="1">
        <v>583</v>
      </c>
      <c r="K7" s="4">
        <v>45643.649050925924</v>
      </c>
      <c r="L7" s="1">
        <v>6652.05</v>
      </c>
    </row>
    <row r="8" spans="1:12">
      <c r="A8" s="1">
        <v>7</v>
      </c>
      <c r="B8" s="1">
        <v>2148</v>
      </c>
      <c r="C8" s="1">
        <v>6421</v>
      </c>
      <c r="D8" s="1" t="s">
        <v>12</v>
      </c>
      <c r="E8" s="3">
        <v>44957.566238425927</v>
      </c>
      <c r="F8" s="1">
        <v>30000</v>
      </c>
      <c r="G8" s="1" t="s">
        <v>7</v>
      </c>
      <c r="H8" s="1">
        <v>8796.44</v>
      </c>
      <c r="I8" s="1">
        <v>1169.45</v>
      </c>
      <c r="J8" s="1">
        <v>415</v>
      </c>
      <c r="K8" s="4">
        <v>45314.958333333336</v>
      </c>
      <c r="L8" s="1">
        <v>9000</v>
      </c>
    </row>
    <row r="9" spans="1:12">
      <c r="A9" s="1">
        <v>8</v>
      </c>
      <c r="B9" s="1">
        <v>3211</v>
      </c>
      <c r="C9" s="1">
        <v>9610</v>
      </c>
      <c r="D9" s="1" t="s">
        <v>8</v>
      </c>
      <c r="E9" s="3">
        <v>44995.500833333332</v>
      </c>
      <c r="F9" s="1">
        <v>30000</v>
      </c>
      <c r="G9" s="1" t="s">
        <v>6</v>
      </c>
      <c r="H9" s="1">
        <v>25533.57</v>
      </c>
      <c r="I9" s="1">
        <v>19657.32</v>
      </c>
      <c r="J9" s="1">
        <v>573</v>
      </c>
      <c r="K9" s="4">
        <v>45180.385925925926</v>
      </c>
      <c r="L9" s="1">
        <v>4250</v>
      </c>
    </row>
    <row r="10" spans="1:12">
      <c r="A10" s="1">
        <v>9</v>
      </c>
      <c r="B10" s="1">
        <v>3512</v>
      </c>
      <c r="C10" s="1">
        <v>10509</v>
      </c>
      <c r="D10" s="1" t="s">
        <v>17</v>
      </c>
      <c r="E10" s="3">
        <v>45006.667002314818</v>
      </c>
      <c r="F10" s="1">
        <v>30000</v>
      </c>
      <c r="G10" s="1" t="s">
        <v>6</v>
      </c>
      <c r="H10" s="1">
        <v>26037.23</v>
      </c>
      <c r="I10" s="1">
        <v>21091.66</v>
      </c>
      <c r="J10" s="1">
        <v>569</v>
      </c>
      <c r="K10" s="4">
        <v>45182.365381944444</v>
      </c>
      <c r="L10" s="1">
        <v>1100</v>
      </c>
    </row>
    <row r="11" spans="1:12">
      <c r="A11" s="1">
        <v>10</v>
      </c>
      <c r="B11" s="1">
        <v>6081</v>
      </c>
      <c r="C11" s="1">
        <v>18155</v>
      </c>
      <c r="D11" s="1" t="s">
        <v>13</v>
      </c>
      <c r="E11" s="3">
        <v>45095.161874999998</v>
      </c>
      <c r="F11" s="1">
        <v>9500</v>
      </c>
      <c r="G11" s="1" t="s">
        <v>6</v>
      </c>
      <c r="H11" s="1">
        <v>9500</v>
      </c>
      <c r="I11" s="1">
        <v>5157.97</v>
      </c>
      <c r="J11" s="1">
        <v>578</v>
      </c>
      <c r="K11" s="4">
        <v>45643.649108796293</v>
      </c>
      <c r="L11" s="1" t="e">
        <f>NA()</f>
        <v>#N/A</v>
      </c>
    </row>
    <row r="12" spans="1:12">
      <c r="A12" s="1">
        <v>11</v>
      </c>
      <c r="B12" s="1">
        <v>7524</v>
      </c>
      <c r="C12" s="1">
        <v>22472</v>
      </c>
      <c r="D12" s="1" t="s">
        <v>13</v>
      </c>
      <c r="E12" s="3">
        <v>45112.357048611113</v>
      </c>
      <c r="F12" s="1">
        <v>9500</v>
      </c>
      <c r="G12" s="1" t="s">
        <v>6</v>
      </c>
      <c r="H12" s="1">
        <v>9500</v>
      </c>
      <c r="I12" s="1">
        <v>4051.18</v>
      </c>
      <c r="J12" s="1">
        <v>561</v>
      </c>
      <c r="K12" s="4">
        <v>45579.497187499997</v>
      </c>
      <c r="L12" s="1" t="e">
        <f>NA()</f>
        <v>#N/A</v>
      </c>
    </row>
    <row r="13" spans="1:12">
      <c r="A13" s="1">
        <v>12</v>
      </c>
      <c r="B13" s="1">
        <v>12728</v>
      </c>
      <c r="C13" s="1">
        <v>38081</v>
      </c>
      <c r="D13" s="1" t="s">
        <v>13</v>
      </c>
      <c r="E13" s="3">
        <v>45164.985520833332</v>
      </c>
      <c r="F13" s="1">
        <v>9900</v>
      </c>
      <c r="G13" s="1" t="s">
        <v>6</v>
      </c>
      <c r="H13" s="1">
        <v>8655.17</v>
      </c>
      <c r="I13" s="1">
        <v>3112.94</v>
      </c>
      <c r="J13" s="1">
        <v>495</v>
      </c>
      <c r="K13" s="4">
        <v>45604.598865740743</v>
      </c>
      <c r="L13" s="1">
        <v>2353.63</v>
      </c>
    </row>
    <row r="14" spans="1:12">
      <c r="A14" s="1">
        <v>13</v>
      </c>
      <c r="B14" s="1">
        <v>70431</v>
      </c>
      <c r="C14" s="1">
        <v>208219</v>
      </c>
      <c r="D14" s="1" t="s">
        <v>13</v>
      </c>
      <c r="E14" s="3">
        <v>45465.449328703704</v>
      </c>
      <c r="F14" s="1">
        <v>6000</v>
      </c>
      <c r="G14" s="1" t="s">
        <v>7</v>
      </c>
      <c r="H14" s="1">
        <v>6000</v>
      </c>
      <c r="I14" s="1">
        <v>2889.34</v>
      </c>
      <c r="J14" s="1">
        <v>208</v>
      </c>
      <c r="K14" s="4">
        <v>45559.958333333336</v>
      </c>
      <c r="L14" s="1">
        <v>500</v>
      </c>
    </row>
    <row r="15" spans="1:12">
      <c r="A15" s="1">
        <v>14</v>
      </c>
      <c r="B15" s="1">
        <v>68701</v>
      </c>
      <c r="C15" s="1">
        <v>203029</v>
      </c>
      <c r="D15" s="1" t="s">
        <v>13</v>
      </c>
      <c r="E15" s="3">
        <v>45457.381284722222</v>
      </c>
      <c r="F15" s="1">
        <v>9900</v>
      </c>
      <c r="G15" s="1" t="s">
        <v>9</v>
      </c>
      <c r="H15" s="1">
        <v>9900</v>
      </c>
      <c r="I15" s="1">
        <v>4166.08</v>
      </c>
      <c r="J15" s="1">
        <v>216</v>
      </c>
      <c r="K15" s="4">
        <v>45472</v>
      </c>
      <c r="L15" s="1">
        <v>50</v>
      </c>
    </row>
    <row r="16" spans="1:12">
      <c r="A16" s="1">
        <v>15</v>
      </c>
      <c r="B16" s="1">
        <v>864</v>
      </c>
      <c r="C16" s="1">
        <v>2573</v>
      </c>
      <c r="D16" s="1" t="s">
        <v>21</v>
      </c>
      <c r="E16" s="3">
        <v>44889.701747685183</v>
      </c>
      <c r="F16" s="1">
        <v>70000</v>
      </c>
      <c r="G16" s="1" t="s">
        <v>24</v>
      </c>
      <c r="H16" s="1" t="e">
        <f>NA()</f>
        <v>#N/A</v>
      </c>
      <c r="I16" s="1" t="e">
        <f>NA()</f>
        <v>#N/A</v>
      </c>
      <c r="J16" s="1" t="e">
        <f>NA()</f>
        <v>#N/A</v>
      </c>
      <c r="K16" s="4">
        <v>45286.989583333336</v>
      </c>
      <c r="L16" s="1">
        <v>2500</v>
      </c>
    </row>
    <row r="17" spans="1:12">
      <c r="A17" s="1">
        <v>16</v>
      </c>
      <c r="B17" s="1">
        <v>1097</v>
      </c>
      <c r="C17" s="1">
        <v>3272</v>
      </c>
      <c r="D17" s="1" t="s">
        <v>8</v>
      </c>
      <c r="E17" s="3">
        <v>44901.672407407408</v>
      </c>
      <c r="F17" s="1">
        <v>30000</v>
      </c>
      <c r="G17" s="1" t="s">
        <v>25</v>
      </c>
      <c r="H17" s="1" t="e">
        <f>NA()</f>
        <v>#N/A</v>
      </c>
      <c r="I17" s="1" t="e">
        <f>NA()</f>
        <v>#N/A</v>
      </c>
      <c r="J17" s="1" t="e">
        <f>NA()</f>
        <v>#N/A</v>
      </c>
      <c r="K17" s="4">
        <v>44901.6875</v>
      </c>
      <c r="L17" s="1" t="e">
        <f>NA()</f>
        <v>#N/A</v>
      </c>
    </row>
    <row r="18" spans="1:12">
      <c r="A18" s="1">
        <v>17</v>
      </c>
      <c r="B18" s="1">
        <v>1370</v>
      </c>
      <c r="C18" s="1">
        <v>4088</v>
      </c>
      <c r="D18" s="1" t="s">
        <v>14</v>
      </c>
      <c r="E18" s="3">
        <v>44914.611435185187</v>
      </c>
      <c r="F18" s="1">
        <v>20000</v>
      </c>
      <c r="G18" s="1" t="s">
        <v>24</v>
      </c>
      <c r="H18" s="1" t="e">
        <f>NA()</f>
        <v>#N/A</v>
      </c>
      <c r="I18" s="1" t="e">
        <f>NA()</f>
        <v>#N/A</v>
      </c>
      <c r="J18" s="1" t="e">
        <f>NA()</f>
        <v>#N/A</v>
      </c>
      <c r="K18" s="4">
        <v>45286.989583333336</v>
      </c>
      <c r="L18" s="1">
        <v>1070</v>
      </c>
    </row>
    <row r="19" spans="1:12">
      <c r="A19" s="1">
        <v>18</v>
      </c>
      <c r="B19" s="1">
        <v>1612</v>
      </c>
      <c r="C19" s="1">
        <v>4814</v>
      </c>
      <c r="D19" s="1" t="s">
        <v>21</v>
      </c>
      <c r="E19" s="3">
        <v>44923.549212962964</v>
      </c>
      <c r="F19" s="1">
        <v>30000</v>
      </c>
      <c r="G19" s="1" t="s">
        <v>24</v>
      </c>
      <c r="H19" s="1" t="e">
        <f>NA()</f>
        <v>#N/A</v>
      </c>
      <c r="I19" s="1" t="e">
        <f>NA()</f>
        <v>#N/A</v>
      </c>
      <c r="J19" s="1" t="e">
        <f>NA()</f>
        <v>#N/A</v>
      </c>
      <c r="K19" s="4">
        <v>45286.989583333336</v>
      </c>
      <c r="L19" s="1">
        <v>1600</v>
      </c>
    </row>
    <row r="20" spans="1:12">
      <c r="A20" s="1">
        <v>19</v>
      </c>
      <c r="B20" s="1">
        <v>2369</v>
      </c>
      <c r="C20" s="1">
        <v>7084</v>
      </c>
      <c r="D20" s="1" t="s">
        <v>10</v>
      </c>
      <c r="E20" s="3">
        <v>44964.757175925923</v>
      </c>
      <c r="F20" s="1">
        <v>55000</v>
      </c>
      <c r="G20" s="1" t="s">
        <v>6</v>
      </c>
      <c r="H20" s="1" t="e">
        <f>NA()</f>
        <v>#N/A</v>
      </c>
      <c r="I20" s="1" t="e">
        <f>NA()</f>
        <v>#N/A</v>
      </c>
      <c r="J20" s="1" t="e">
        <f>NA()</f>
        <v>#N/A</v>
      </c>
      <c r="K20" s="4">
        <v>45497.621689814812</v>
      </c>
      <c r="L20" s="1">
        <v>4700</v>
      </c>
    </row>
    <row r="21" spans="1:12">
      <c r="A21" s="1">
        <v>20</v>
      </c>
      <c r="B21" s="1">
        <v>2674</v>
      </c>
      <c r="C21" s="1">
        <v>7999</v>
      </c>
      <c r="D21" s="1" t="s">
        <v>16</v>
      </c>
      <c r="E21" s="3">
        <v>44973.69599537037</v>
      </c>
      <c r="F21" s="1">
        <v>20000</v>
      </c>
      <c r="G21" s="1" t="s">
        <v>6</v>
      </c>
      <c r="H21" s="1" t="e">
        <f>NA()</f>
        <v>#N/A</v>
      </c>
      <c r="I21" s="1" t="e">
        <f>NA()</f>
        <v>#N/A</v>
      </c>
      <c r="J21" s="1" t="e">
        <f>NA()</f>
        <v>#N/A</v>
      </c>
      <c r="K21" s="4">
        <v>45579.497164351851</v>
      </c>
      <c r="L21" s="1">
        <v>1584.96</v>
      </c>
    </row>
    <row r="22" spans="1:12">
      <c r="A22" s="1">
        <v>21</v>
      </c>
      <c r="B22" s="1">
        <v>2952</v>
      </c>
      <c r="C22" s="1">
        <v>8833</v>
      </c>
      <c r="D22" s="1" t="s">
        <v>15</v>
      </c>
      <c r="E22" s="3">
        <v>44984.836261574077</v>
      </c>
      <c r="F22" s="1">
        <v>20000</v>
      </c>
      <c r="G22" s="1" t="s">
        <v>6</v>
      </c>
      <c r="H22" s="1" t="e">
        <f>NA()</f>
        <v>#N/A</v>
      </c>
      <c r="I22" s="1" t="e">
        <f>NA()</f>
        <v>#N/A</v>
      </c>
      <c r="J22" s="1" t="e">
        <f>NA()</f>
        <v>#N/A</v>
      </c>
      <c r="K22" s="4">
        <v>45191.393171296295</v>
      </c>
      <c r="L22" s="1">
        <v>10868.3</v>
      </c>
    </row>
    <row r="23" spans="1:12">
      <c r="A23" s="1">
        <v>22</v>
      </c>
      <c r="B23" s="1">
        <v>36943</v>
      </c>
      <c r="C23" s="1">
        <v>107766</v>
      </c>
      <c r="D23" s="1" t="s">
        <v>13</v>
      </c>
      <c r="E23" s="3">
        <v>45302.970243055555</v>
      </c>
      <c r="F23" s="1">
        <v>9900</v>
      </c>
      <c r="G23" s="1" t="s">
        <v>24</v>
      </c>
      <c r="H23" s="1" t="e">
        <f>NA()</f>
        <v>#N/A</v>
      </c>
      <c r="I23" s="1" t="e">
        <f>NA()</f>
        <v>#N/A</v>
      </c>
      <c r="J23" s="1" t="e">
        <f>NA()</f>
        <v>#N/A</v>
      </c>
      <c r="K23" s="4">
        <v>45495.545358796298</v>
      </c>
      <c r="L23" s="1">
        <v>2340</v>
      </c>
    </row>
    <row r="24" spans="1:12">
      <c r="A24" s="1">
        <v>23</v>
      </c>
      <c r="B24" s="1">
        <v>37392</v>
      </c>
      <c r="C24" s="1">
        <v>109111</v>
      </c>
      <c r="D24" s="1" t="s">
        <v>13</v>
      </c>
      <c r="E24" s="3">
        <v>45305.345254629632</v>
      </c>
      <c r="F24" s="1">
        <v>9900</v>
      </c>
      <c r="G24" s="1" t="s">
        <v>24</v>
      </c>
      <c r="H24" s="1" t="e">
        <f>NA()</f>
        <v>#N/A</v>
      </c>
      <c r="I24" s="1" t="e">
        <f>NA()</f>
        <v>#N/A</v>
      </c>
      <c r="J24" s="1" t="e">
        <f>NA()</f>
        <v>#N/A</v>
      </c>
      <c r="K24" s="4">
        <v>45469.655798611115</v>
      </c>
      <c r="L24" s="1">
        <v>2353.63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F5AE-698B-4C2D-AB98-B9DF7C283550}">
  <dimension ref="A3:C16"/>
  <sheetViews>
    <sheetView workbookViewId="0">
      <selection activeCell="C31" sqref="C31"/>
    </sheetView>
  </sheetViews>
  <sheetFormatPr defaultRowHeight="15"/>
  <cols>
    <col min="1" max="1" width="14.88671875" bestFit="1" customWidth="1"/>
    <col min="2" max="2" width="20.5546875" bestFit="1" customWidth="1"/>
    <col min="3" max="3" width="24" bestFit="1" customWidth="1"/>
    <col min="4" max="4" width="4" bestFit="1" customWidth="1"/>
    <col min="5" max="19" width="5" bestFit="1" customWidth="1"/>
    <col min="20" max="24" width="6" bestFit="1" customWidth="1"/>
    <col min="25" max="25" width="11.5546875" bestFit="1" customWidth="1"/>
  </cols>
  <sheetData>
    <row r="3" spans="1:3">
      <c r="A3" s="8" t="s">
        <v>42</v>
      </c>
      <c r="B3" t="s">
        <v>43</v>
      </c>
      <c r="C3" t="s">
        <v>44</v>
      </c>
    </row>
    <row r="4" spans="1:3">
      <c r="A4" s="9" t="s">
        <v>17</v>
      </c>
      <c r="B4" s="10">
        <v>1</v>
      </c>
      <c r="C4" s="10">
        <v>30000</v>
      </c>
    </row>
    <row r="5" spans="1:3">
      <c r="A5" s="9" t="s">
        <v>8</v>
      </c>
      <c r="B5" s="10">
        <v>3</v>
      </c>
      <c r="C5" s="10">
        <v>95000</v>
      </c>
    </row>
    <row r="6" spans="1:3">
      <c r="A6" s="9" t="s">
        <v>10</v>
      </c>
      <c r="B6" s="10">
        <v>1</v>
      </c>
      <c r="C6" s="10">
        <v>55000</v>
      </c>
    </row>
    <row r="7" spans="1:3">
      <c r="A7" s="9" t="s">
        <v>16</v>
      </c>
      <c r="B7" s="10">
        <v>2</v>
      </c>
      <c r="C7" s="10">
        <v>50000</v>
      </c>
    </row>
    <row r="8" spans="1:3">
      <c r="A8" s="9" t="s">
        <v>21</v>
      </c>
      <c r="B8" s="10">
        <v>2</v>
      </c>
      <c r="C8" s="10">
        <v>100000</v>
      </c>
    </row>
    <row r="9" spans="1:3">
      <c r="A9" s="9" t="s">
        <v>18</v>
      </c>
      <c r="B9" s="10">
        <v>1</v>
      </c>
      <c r="C9" s="10">
        <v>20000</v>
      </c>
    </row>
    <row r="10" spans="1:3">
      <c r="A10" s="9" t="s">
        <v>13</v>
      </c>
      <c r="B10" s="10">
        <v>7</v>
      </c>
      <c r="C10" s="10">
        <v>64600</v>
      </c>
    </row>
    <row r="11" spans="1:3">
      <c r="A11" s="9" t="s">
        <v>14</v>
      </c>
      <c r="B11" s="10">
        <v>1</v>
      </c>
      <c r="C11" s="10">
        <v>20000</v>
      </c>
    </row>
    <row r="12" spans="1:3">
      <c r="A12" s="9" t="s">
        <v>12</v>
      </c>
      <c r="B12" s="10">
        <v>1</v>
      </c>
      <c r="C12" s="10">
        <v>30000</v>
      </c>
    </row>
    <row r="13" spans="1:3">
      <c r="A13" s="9" t="s">
        <v>15</v>
      </c>
      <c r="B13" s="10">
        <v>1</v>
      </c>
      <c r="C13" s="10">
        <v>20000</v>
      </c>
    </row>
    <row r="14" spans="1:3">
      <c r="A14" s="9" t="s">
        <v>19</v>
      </c>
      <c r="B14" s="10">
        <v>1</v>
      </c>
      <c r="C14" s="10">
        <v>50000</v>
      </c>
    </row>
    <row r="15" spans="1:3">
      <c r="A15" s="9" t="s">
        <v>5</v>
      </c>
      <c r="B15" s="10">
        <v>2</v>
      </c>
      <c r="C15" s="10">
        <v>100000</v>
      </c>
    </row>
    <row r="16" spans="1:3">
      <c r="A16" s="9" t="s">
        <v>41</v>
      </c>
      <c r="B16" s="10">
        <v>23</v>
      </c>
      <c r="C16" s="10">
        <v>634600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28DB-20F7-2148-863F-F3815F6CD537}">
  <dimension ref="A1:L36"/>
  <sheetViews>
    <sheetView workbookViewId="0">
      <selection activeCell="B36" sqref="B36"/>
    </sheetView>
  </sheetViews>
  <sheetFormatPr defaultColWidth="11.5546875" defaultRowHeight="15"/>
  <cols>
    <col min="1" max="1" width="3.109375" bestFit="1" customWidth="1"/>
    <col min="2" max="2" width="15.33203125" bestFit="1" customWidth="1"/>
    <col min="3" max="3" width="11" bestFit="1" customWidth="1"/>
    <col min="4" max="4" width="13.6640625" bestFit="1" customWidth="1"/>
    <col min="5" max="5" width="11.6640625" bestFit="1" customWidth="1"/>
    <col min="6" max="6" width="13.33203125" bestFit="1" customWidth="1"/>
    <col min="7" max="7" width="6.6640625" bestFit="1" customWidth="1"/>
    <col min="8" max="8" width="19.6640625" bestFit="1" customWidth="1"/>
    <col min="9" max="9" width="20.109375" bestFit="1" customWidth="1"/>
    <col min="10" max="10" width="32.77734375" bestFit="1" customWidth="1"/>
    <col min="11" max="11" width="22.77734375" bestFit="1" customWidth="1"/>
    <col min="12" max="12" width="24.44140625" bestFit="1" customWidth="1"/>
  </cols>
  <sheetData>
    <row r="1" spans="1:12">
      <c r="B1" t="s">
        <v>34</v>
      </c>
    </row>
    <row r="2" spans="1:12">
      <c r="B2" t="s">
        <v>35</v>
      </c>
    </row>
    <row r="3" spans="1:12">
      <c r="B3" t="s">
        <v>40</v>
      </c>
    </row>
    <row r="4" spans="1:12">
      <c r="B4" t="s">
        <v>39</v>
      </c>
    </row>
    <row r="6" spans="1:12">
      <c r="A6" s="1" t="s">
        <v>0</v>
      </c>
      <c r="B6" s="1" t="s">
        <v>27</v>
      </c>
      <c r="C6" s="1" t="s">
        <v>29</v>
      </c>
      <c r="D6" s="1" t="s">
        <v>28</v>
      </c>
      <c r="E6" s="1" t="s">
        <v>30</v>
      </c>
      <c r="F6" s="1" t="s">
        <v>1</v>
      </c>
      <c r="G6" s="1" t="s">
        <v>31</v>
      </c>
      <c r="H6" s="1" t="s">
        <v>2</v>
      </c>
      <c r="I6" s="1" t="s">
        <v>3</v>
      </c>
      <c r="J6" s="1" t="s">
        <v>4</v>
      </c>
      <c r="K6" s="1" t="s">
        <v>32</v>
      </c>
      <c r="L6" s="1" t="s">
        <v>33</v>
      </c>
    </row>
    <row r="7" spans="1:12">
      <c r="A7" s="1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4" spans="2:2">
      <c r="B34" t="s">
        <v>36</v>
      </c>
    </row>
    <row r="35" spans="2:2">
      <c r="B35" t="s">
        <v>37</v>
      </c>
    </row>
    <row r="36" spans="2:2">
      <c r="B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Общий реестр Задание 1-2</vt:lpstr>
      <vt:lpstr>Реестр с исключением Задание 3</vt:lpstr>
      <vt:lpstr>Сводная таблица Задание 4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ИТ</dc:creator>
  <cp:lastModifiedBy>Eldar Umudov</cp:lastModifiedBy>
  <dcterms:created xsi:type="dcterms:W3CDTF">2025-01-30T07:35:02Z</dcterms:created>
  <dcterms:modified xsi:type="dcterms:W3CDTF">2026-02-12T11:10:26Z</dcterms:modified>
</cp:coreProperties>
</file>